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e Structur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<sst xmlns="http://schemas.openxmlformats.org/spreadsheetml/2006/main" count="40" uniqueCount="40">
  <si>
    <t xml:space="preserve">SCHOOL FEE STRUCTURE — ACADEMIC YEAR 2026-27</t>
  </si>
  <si>
    <t xml:space="preserve">Class-wise tuition, transport and one-time charges. Yellow cells are editable inputs — all totals recalculate automatically.</t>
  </si>
  <si>
    <t xml:space="preserve">[School Name] — [Address/City]        Effective from: [Month, Year]</t>
  </si>
  <si>
    <t xml:space="preserve">Class</t>
  </si>
  <si>
    <t xml:space="preserve">Tuition Fee
(Monthly)</t>
  </si>
  <si>
    <t xml:space="preserve">Tuition Fee
(Annual)</t>
  </si>
  <si>
    <t xml:space="preserve">Transport Fee
(Monthly)</t>
  </si>
  <si>
    <t xml:space="preserve">Transport Fee
(Annual)</t>
  </si>
  <si>
    <t xml:space="preserve">Admission Fee
(New Adm., One-time)</t>
  </si>
  <si>
    <t xml:space="preserve">Annual Charges
(Activities/Exam/Library)</t>
  </si>
  <si>
    <t xml:space="preserve">Development Fund
(One-time)</t>
  </si>
  <si>
    <t xml:space="preserve">Uniform &amp; Books
(Est., One-time)</t>
  </si>
  <si>
    <t xml:space="preserve">Total Annual Recurring
(Tuition+Transport+Annual Chg.)</t>
  </si>
  <si>
    <t xml:space="preserve">Total One-Time Charges
(New Admission)</t>
  </si>
  <si>
    <t xml:space="preserve">Year 1 Total
(New Admission)</t>
  </si>
  <si>
    <t xml:space="preserve">Annual Total
(Continuing Student)</t>
  </si>
  <si>
    <t xml:space="preserve">Nursery</t>
  </si>
  <si>
    <t xml:space="preserve">LKG</t>
  </si>
  <si>
    <t xml:space="preserve">UKG</t>
  </si>
  <si>
    <t xml:space="preserve">Class 1</t>
  </si>
  <si>
    <t xml:space="preserve">Class 2</t>
  </si>
  <si>
    <t xml:space="preserve">Class 3</t>
  </si>
  <si>
    <t xml:space="preserve">Class 4</t>
  </si>
  <si>
    <t xml:space="preserve">Class 5</t>
  </si>
  <si>
    <t xml:space="preserve">Class 6</t>
  </si>
  <si>
    <t xml:space="preserve">Class 7</t>
  </si>
  <si>
    <t xml:space="preserve">Class 8</t>
  </si>
  <si>
    <t xml:space="preserve">Class 9</t>
  </si>
  <si>
    <t xml:space="preserve">Class 10</t>
  </si>
  <si>
    <t xml:space="preserve">Class 11</t>
  </si>
  <si>
    <t xml:space="preserve">Class 12</t>
  </si>
  <si>
    <t xml:space="preserve">AVERAGE ACROSS ALL CLASSES</t>
  </si>
  <si>
    <t xml:space="preserve">NOTES &amp; ASSUMPTIONS</t>
  </si>
  <si>
    <t xml:space="preserve">1. Yellow cells (Tuition Monthly, Transport Monthly, Admission Fee, Annual Charges, Development Fund, Uniform &amp; Books) are editable inputs — replace sample figures with your school's actual fees.</t>
  </si>
  <si>
    <t xml:space="preserve">2. All 'Annual' and 'Total' columns are formulas and recalculate automatically when yellow input cells are changed.</t>
  </si>
  <si>
    <t xml:space="preserve">3. Admission Fee and Development Fund are one-time charges applicable to new admissions only; continuing students are not charged these again (see 'Annual Total – Continuing Student').</t>
  </si>
  <si>
    <t xml:space="preserve">4. Transport Fee is shown as a single average rate — schools with distance-based slabs (e.g. 0-5 km / 5-10 km / 10-15 km) should replace column D with slab-specific rates per route.</t>
  </si>
  <si>
    <t xml:space="preserve">5. Uniform &amp; Books is an indicative one-time estimate for the entry year; actual cost depends on vendor and is typically paid directly, not to the school.</t>
  </si>
  <si>
    <t xml:space="preserve">6. Figures shown are illustrative sample values in INR (₹) for demonstration only and do not represent any real institution's fees.</t>
  </si>
  <si>
    <t xml:space="preserve">7. Sheet reflects Academic Year 2026-27; update the effective-date line above when fees are revised.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</si>
</sst>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₹#,##0;&quot;(₹&quot;#,##0\)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color rgb="FF40404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  <fill>
      <patternFill patternType="solid">
        <fgColor rgb="FFD9E2F3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5" min="2" style="0" width="13"/>
    <col collapsed="false" customWidth="true" hidden="false" outlineLevel="0" max="7" min="6" style="0" width="15"/>
    <col collapsed="false" customWidth="true" hidden="false" outlineLevel="0" max="9" min="8" style="0" width="14"/>
    <col collapsed="false" customWidth="true" hidden="false" outlineLevel="0" max="10" min="10" style="0" width="16"/>
    <col collapsed="false" customWidth="true" hidden="false" outlineLevel="0" max="11" min="11" style="0" width="15"/>
    <col collapsed="false" customWidth="true" hidden="false" outlineLevel="0" max="12" min="12" style="0" width="13"/>
    <col collapsed="false" customWidth="true" hidden="false" outlineLevel="0" max="13" min="13" style="0" width="15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3.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36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  <c r="M5" s="4" t="s">
        <v>15</v>
      </c>
    </row>
    <row r="6" customFormat="false" ht="15" hidden="false" customHeight="false" outlineLevel="0" collapsed="false">
      <c r="A6" s="5" t="s">
        <v>16</v>
      </c>
      <c r="B6" s="6" t="n">
        <v>3500</v>
      </c>
      <c r="C6" s="7" t="n">
        <f aca="false">B6*12</f>
        <v>42000</v>
      </c>
      <c r="D6" s="6" t="n">
        <v>1500</v>
      </c>
      <c r="E6" s="7" t="n">
        <f aca="false">D6*12</f>
        <v>18000</v>
      </c>
      <c r="F6" s="6" t="n">
        <v>15000</v>
      </c>
      <c r="G6" s="6" t="n">
        <v>6000</v>
      </c>
      <c r="H6" s="6" t="n">
        <v>10000</v>
      </c>
      <c r="I6" s="6" t="n">
        <v>4000</v>
      </c>
      <c r="J6" s="7" t="n">
        <f aca="false">C6+E6+G6</f>
        <v>66000</v>
      </c>
      <c r="K6" s="7" t="n">
        <f aca="false">F6+H6+I6</f>
        <v>29000</v>
      </c>
      <c r="L6" s="7" t="n">
        <f aca="false">J6+K6</f>
        <v>95000</v>
      </c>
      <c r="M6" s="7" t="n">
        <f aca="false">J6</f>
        <v>66000</v>
      </c>
    </row>
    <row r="7" customFormat="false" ht="15" hidden="false" customHeight="false" outlineLevel="0" collapsed="false">
      <c r="A7" s="8" t="s">
        <v>17</v>
      </c>
      <c r="B7" s="6" t="n">
        <v>3500</v>
      </c>
      <c r="C7" s="9" t="n">
        <f aca="false">B7*12</f>
        <v>42000</v>
      </c>
      <c r="D7" s="6" t="n">
        <v>1500</v>
      </c>
      <c r="E7" s="9" t="n">
        <f aca="false">D7*12</f>
        <v>18000</v>
      </c>
      <c r="F7" s="6" t="n">
        <v>15000</v>
      </c>
      <c r="G7" s="6" t="n">
        <v>6000</v>
      </c>
      <c r="H7" s="6" t="n">
        <v>10000</v>
      </c>
      <c r="I7" s="6" t="n">
        <v>4000</v>
      </c>
      <c r="J7" s="9" t="n">
        <f aca="false">C7+E7+G7</f>
        <v>66000</v>
      </c>
      <c r="K7" s="9" t="n">
        <f aca="false">F7+H7+I7</f>
        <v>29000</v>
      </c>
      <c r="L7" s="9" t="n">
        <f aca="false">J7+K7</f>
        <v>95000</v>
      </c>
      <c r="M7" s="9" t="n">
        <f aca="false">J7</f>
        <v>66000</v>
      </c>
    </row>
    <row r="8" customFormat="false" ht="15" hidden="false" customHeight="false" outlineLevel="0" collapsed="false">
      <c r="A8" s="5" t="s">
        <v>18</v>
      </c>
      <c r="B8" s="6" t="n">
        <v>3500</v>
      </c>
      <c r="C8" s="7" t="n">
        <f aca="false">B8*12</f>
        <v>42000</v>
      </c>
      <c r="D8" s="6" t="n">
        <v>1500</v>
      </c>
      <c r="E8" s="7" t="n">
        <f aca="false">D8*12</f>
        <v>18000</v>
      </c>
      <c r="F8" s="6" t="n">
        <v>15000</v>
      </c>
      <c r="G8" s="6" t="n">
        <v>6000</v>
      </c>
      <c r="H8" s="6" t="n">
        <v>10000</v>
      </c>
      <c r="I8" s="6" t="n">
        <v>4000</v>
      </c>
      <c r="J8" s="7" t="n">
        <f aca="false">C8+E8+G8</f>
        <v>66000</v>
      </c>
      <c r="K8" s="7" t="n">
        <f aca="false">F8+H8+I8</f>
        <v>29000</v>
      </c>
      <c r="L8" s="7" t="n">
        <f aca="false">J8+K8</f>
        <v>95000</v>
      </c>
      <c r="M8" s="7" t="n">
        <f aca="false">J8</f>
        <v>66000</v>
      </c>
    </row>
    <row r="9" customFormat="false" ht="15" hidden="false" customHeight="false" outlineLevel="0" collapsed="false">
      <c r="A9" s="8" t="s">
        <v>19</v>
      </c>
      <c r="B9" s="6" t="n">
        <v>4200</v>
      </c>
      <c r="C9" s="9" t="n">
        <f aca="false">B9*12</f>
        <v>50400</v>
      </c>
      <c r="D9" s="6" t="n">
        <v>1800</v>
      </c>
      <c r="E9" s="9" t="n">
        <f aca="false">D9*12</f>
        <v>21600</v>
      </c>
      <c r="F9" s="6" t="n">
        <v>18000</v>
      </c>
      <c r="G9" s="6" t="n">
        <v>8000</v>
      </c>
      <c r="H9" s="6" t="n">
        <v>12000</v>
      </c>
      <c r="I9" s="6" t="n">
        <v>4500</v>
      </c>
      <c r="J9" s="9" t="n">
        <f aca="false">C9+E9+G9</f>
        <v>80000</v>
      </c>
      <c r="K9" s="9" t="n">
        <f aca="false">F9+H9+I9</f>
        <v>34500</v>
      </c>
      <c r="L9" s="9" t="n">
        <f aca="false">J9+K9</f>
        <v>114500</v>
      </c>
      <c r="M9" s="9" t="n">
        <f aca="false">J9</f>
        <v>80000</v>
      </c>
    </row>
    <row r="10" customFormat="false" ht="15" hidden="false" customHeight="false" outlineLevel="0" collapsed="false">
      <c r="A10" s="5" t="s">
        <v>20</v>
      </c>
      <c r="B10" s="6" t="n">
        <v>4200</v>
      </c>
      <c r="C10" s="7" t="n">
        <f aca="false">B10*12</f>
        <v>50400</v>
      </c>
      <c r="D10" s="6" t="n">
        <v>1800</v>
      </c>
      <c r="E10" s="7" t="n">
        <f aca="false">D10*12</f>
        <v>21600</v>
      </c>
      <c r="F10" s="6" t="n">
        <v>18000</v>
      </c>
      <c r="G10" s="6" t="n">
        <v>8000</v>
      </c>
      <c r="H10" s="6" t="n">
        <v>12000</v>
      </c>
      <c r="I10" s="6" t="n">
        <v>4500</v>
      </c>
      <c r="J10" s="7" t="n">
        <f aca="false">C10+E10+G10</f>
        <v>80000</v>
      </c>
      <c r="K10" s="7" t="n">
        <f aca="false">F10+H10+I10</f>
        <v>34500</v>
      </c>
      <c r="L10" s="7" t="n">
        <f aca="false">J10+K10</f>
        <v>114500</v>
      </c>
      <c r="M10" s="7" t="n">
        <f aca="false">J10</f>
        <v>80000</v>
      </c>
    </row>
    <row r="11" customFormat="false" ht="15" hidden="false" customHeight="false" outlineLevel="0" collapsed="false">
      <c r="A11" s="8" t="s">
        <v>21</v>
      </c>
      <c r="B11" s="6" t="n">
        <v>4200</v>
      </c>
      <c r="C11" s="9" t="n">
        <f aca="false">B11*12</f>
        <v>50400</v>
      </c>
      <c r="D11" s="6" t="n">
        <v>1800</v>
      </c>
      <c r="E11" s="9" t="n">
        <f aca="false">D11*12</f>
        <v>21600</v>
      </c>
      <c r="F11" s="6" t="n">
        <v>18000</v>
      </c>
      <c r="G11" s="6" t="n">
        <v>8000</v>
      </c>
      <c r="H11" s="6" t="n">
        <v>12000</v>
      </c>
      <c r="I11" s="6" t="n">
        <v>4500</v>
      </c>
      <c r="J11" s="9" t="n">
        <f aca="false">C11+E11+G11</f>
        <v>80000</v>
      </c>
      <c r="K11" s="9" t="n">
        <f aca="false">F11+H11+I11</f>
        <v>34500</v>
      </c>
      <c r="L11" s="9" t="n">
        <f aca="false">J11+K11</f>
        <v>114500</v>
      </c>
      <c r="M11" s="9" t="n">
        <f aca="false">J11</f>
        <v>80000</v>
      </c>
    </row>
    <row r="12" customFormat="false" ht="15" hidden="false" customHeight="false" outlineLevel="0" collapsed="false">
      <c r="A12" s="5" t="s">
        <v>22</v>
      </c>
      <c r="B12" s="6" t="n">
        <v>4200</v>
      </c>
      <c r="C12" s="7" t="n">
        <f aca="false">B12*12</f>
        <v>50400</v>
      </c>
      <c r="D12" s="6" t="n">
        <v>1800</v>
      </c>
      <c r="E12" s="7" t="n">
        <f aca="false">D12*12</f>
        <v>21600</v>
      </c>
      <c r="F12" s="6" t="n">
        <v>18000</v>
      </c>
      <c r="G12" s="6" t="n">
        <v>8000</v>
      </c>
      <c r="H12" s="6" t="n">
        <v>12000</v>
      </c>
      <c r="I12" s="6" t="n">
        <v>4500</v>
      </c>
      <c r="J12" s="7" t="n">
        <f aca="false">C12+E12+G12</f>
        <v>80000</v>
      </c>
      <c r="K12" s="7" t="n">
        <f aca="false">F12+H12+I12</f>
        <v>34500</v>
      </c>
      <c r="L12" s="7" t="n">
        <f aca="false">J12+K12</f>
        <v>114500</v>
      </c>
      <c r="M12" s="7" t="n">
        <f aca="false">J12</f>
        <v>80000</v>
      </c>
    </row>
    <row r="13" customFormat="false" ht="15" hidden="false" customHeight="false" outlineLevel="0" collapsed="false">
      <c r="A13" s="8" t="s">
        <v>23</v>
      </c>
      <c r="B13" s="6" t="n">
        <v>4200</v>
      </c>
      <c r="C13" s="9" t="n">
        <f aca="false">B13*12</f>
        <v>50400</v>
      </c>
      <c r="D13" s="6" t="n">
        <v>1800</v>
      </c>
      <c r="E13" s="9" t="n">
        <f aca="false">D13*12</f>
        <v>21600</v>
      </c>
      <c r="F13" s="6" t="n">
        <v>18000</v>
      </c>
      <c r="G13" s="6" t="n">
        <v>8000</v>
      </c>
      <c r="H13" s="6" t="n">
        <v>12000</v>
      </c>
      <c r="I13" s="6" t="n">
        <v>4500</v>
      </c>
      <c r="J13" s="9" t="n">
        <f aca="false">C13+E13+G13</f>
        <v>80000</v>
      </c>
      <c r="K13" s="9" t="n">
        <f aca="false">F13+H13+I13</f>
        <v>34500</v>
      </c>
      <c r="L13" s="9" t="n">
        <f aca="false">J13+K13</f>
        <v>114500</v>
      </c>
      <c r="M13" s="9" t="n">
        <f aca="false">J13</f>
        <v>80000</v>
      </c>
    </row>
    <row r="14" customFormat="false" ht="15" hidden="false" customHeight="false" outlineLevel="0" collapsed="false">
      <c r="A14" s="5" t="s">
        <v>24</v>
      </c>
      <c r="B14" s="6" t="n">
        <v>5200</v>
      </c>
      <c r="C14" s="7" t="n">
        <f aca="false">B14*12</f>
        <v>62400</v>
      </c>
      <c r="D14" s="6" t="n">
        <v>1800</v>
      </c>
      <c r="E14" s="7" t="n">
        <f aca="false">D14*12</f>
        <v>21600</v>
      </c>
      <c r="F14" s="6" t="n">
        <v>20000</v>
      </c>
      <c r="G14" s="6" t="n">
        <v>9500</v>
      </c>
      <c r="H14" s="6" t="n">
        <v>14000</v>
      </c>
      <c r="I14" s="6" t="n">
        <v>5000</v>
      </c>
      <c r="J14" s="7" t="n">
        <f aca="false">C14+E14+G14</f>
        <v>93500</v>
      </c>
      <c r="K14" s="7" t="n">
        <f aca="false">F14+H14+I14</f>
        <v>39000</v>
      </c>
      <c r="L14" s="7" t="n">
        <f aca="false">J14+K14</f>
        <v>132500</v>
      </c>
      <c r="M14" s="7" t="n">
        <f aca="false">J14</f>
        <v>93500</v>
      </c>
    </row>
    <row r="15" customFormat="false" ht="15" hidden="false" customHeight="false" outlineLevel="0" collapsed="false">
      <c r="A15" s="8" t="s">
        <v>25</v>
      </c>
      <c r="B15" s="6" t="n">
        <v>5200</v>
      </c>
      <c r="C15" s="9" t="n">
        <f aca="false">B15*12</f>
        <v>62400</v>
      </c>
      <c r="D15" s="6" t="n">
        <v>1800</v>
      </c>
      <c r="E15" s="9" t="n">
        <f aca="false">D15*12</f>
        <v>21600</v>
      </c>
      <c r="F15" s="6" t="n">
        <v>20000</v>
      </c>
      <c r="G15" s="6" t="n">
        <v>9500</v>
      </c>
      <c r="H15" s="6" t="n">
        <v>14000</v>
      </c>
      <c r="I15" s="6" t="n">
        <v>5000</v>
      </c>
      <c r="J15" s="9" t="n">
        <f aca="false">C15+E15+G15</f>
        <v>93500</v>
      </c>
      <c r="K15" s="9" t="n">
        <f aca="false">F15+H15+I15</f>
        <v>39000</v>
      </c>
      <c r="L15" s="9" t="n">
        <f aca="false">J15+K15</f>
        <v>132500</v>
      </c>
      <c r="M15" s="9" t="n">
        <f aca="false">J15</f>
        <v>93500</v>
      </c>
    </row>
    <row r="16" customFormat="false" ht="15" hidden="false" customHeight="false" outlineLevel="0" collapsed="false">
      <c r="A16" s="5" t="s">
        <v>26</v>
      </c>
      <c r="B16" s="6" t="n">
        <v>5200</v>
      </c>
      <c r="C16" s="7" t="n">
        <f aca="false">B16*12</f>
        <v>62400</v>
      </c>
      <c r="D16" s="6" t="n">
        <v>1800</v>
      </c>
      <c r="E16" s="7" t="n">
        <f aca="false">D16*12</f>
        <v>21600</v>
      </c>
      <c r="F16" s="6" t="n">
        <v>20000</v>
      </c>
      <c r="G16" s="6" t="n">
        <v>9500</v>
      </c>
      <c r="H16" s="6" t="n">
        <v>14000</v>
      </c>
      <c r="I16" s="6" t="n">
        <v>5000</v>
      </c>
      <c r="J16" s="7" t="n">
        <f aca="false">C16+E16+G16</f>
        <v>93500</v>
      </c>
      <c r="K16" s="7" t="n">
        <f aca="false">F16+H16+I16</f>
        <v>39000</v>
      </c>
      <c r="L16" s="7" t="n">
        <f aca="false">J16+K16</f>
        <v>132500</v>
      </c>
      <c r="M16" s="7" t="n">
        <f aca="false">J16</f>
        <v>93500</v>
      </c>
    </row>
    <row r="17" customFormat="false" ht="15" hidden="false" customHeight="false" outlineLevel="0" collapsed="false">
      <c r="A17" s="8" t="s">
        <v>27</v>
      </c>
      <c r="B17" s="6" t="n">
        <v>6300</v>
      </c>
      <c r="C17" s="9" t="n">
        <f aca="false">B17*12</f>
        <v>75600</v>
      </c>
      <c r="D17" s="6" t="n">
        <v>2000</v>
      </c>
      <c r="E17" s="9" t="n">
        <f aca="false">D17*12</f>
        <v>24000</v>
      </c>
      <c r="F17" s="6" t="n">
        <v>22000</v>
      </c>
      <c r="G17" s="6" t="n">
        <v>11000</v>
      </c>
      <c r="H17" s="6" t="n">
        <v>16000</v>
      </c>
      <c r="I17" s="6" t="n">
        <v>5500</v>
      </c>
      <c r="J17" s="9" t="n">
        <f aca="false">C17+E17+G17</f>
        <v>110600</v>
      </c>
      <c r="K17" s="9" t="n">
        <f aca="false">F17+H17+I17</f>
        <v>43500</v>
      </c>
      <c r="L17" s="9" t="n">
        <f aca="false">J17+K17</f>
        <v>154100</v>
      </c>
      <c r="M17" s="9" t="n">
        <f aca="false">J17</f>
        <v>110600</v>
      </c>
    </row>
    <row r="18" customFormat="false" ht="15" hidden="false" customHeight="false" outlineLevel="0" collapsed="false">
      <c r="A18" s="5" t="s">
        <v>28</v>
      </c>
      <c r="B18" s="6" t="n">
        <v>6300</v>
      </c>
      <c r="C18" s="7" t="n">
        <f aca="false">B18*12</f>
        <v>75600</v>
      </c>
      <c r="D18" s="6" t="n">
        <v>2000</v>
      </c>
      <c r="E18" s="7" t="n">
        <f aca="false">D18*12</f>
        <v>24000</v>
      </c>
      <c r="F18" s="6" t="n">
        <v>22000</v>
      </c>
      <c r="G18" s="6" t="n">
        <v>11000</v>
      </c>
      <c r="H18" s="6" t="n">
        <v>16000</v>
      </c>
      <c r="I18" s="6" t="n">
        <v>5500</v>
      </c>
      <c r="J18" s="7" t="n">
        <f aca="false">C18+E18+G18</f>
        <v>110600</v>
      </c>
      <c r="K18" s="7" t="n">
        <f aca="false">F18+H18+I18</f>
        <v>43500</v>
      </c>
      <c r="L18" s="7" t="n">
        <f aca="false">J18+K18</f>
        <v>154100</v>
      </c>
      <c r="M18" s="7" t="n">
        <f aca="false">J18</f>
        <v>110600</v>
      </c>
    </row>
    <row r="19" customFormat="false" ht="15" hidden="false" customHeight="false" outlineLevel="0" collapsed="false">
      <c r="A19" s="8" t="s">
        <v>29</v>
      </c>
      <c r="B19" s="6" t="n">
        <v>7500</v>
      </c>
      <c r="C19" s="9" t="n">
        <f aca="false">B19*12</f>
        <v>90000</v>
      </c>
      <c r="D19" s="6" t="n">
        <v>2000</v>
      </c>
      <c r="E19" s="9" t="n">
        <f aca="false">D19*12</f>
        <v>24000</v>
      </c>
      <c r="F19" s="6" t="n">
        <v>25000</v>
      </c>
      <c r="G19" s="6" t="n">
        <v>13000</v>
      </c>
      <c r="H19" s="6" t="n">
        <v>18000</v>
      </c>
      <c r="I19" s="6" t="n">
        <v>6000</v>
      </c>
      <c r="J19" s="9" t="n">
        <f aca="false">C19+E19+G19</f>
        <v>127000</v>
      </c>
      <c r="K19" s="9" t="n">
        <f aca="false">F19+H19+I19</f>
        <v>49000</v>
      </c>
      <c r="L19" s="9" t="n">
        <f aca="false">J19+K19</f>
        <v>176000</v>
      </c>
      <c r="M19" s="9" t="n">
        <f aca="false">J19</f>
        <v>127000</v>
      </c>
    </row>
    <row r="20" customFormat="false" ht="15" hidden="false" customHeight="false" outlineLevel="0" collapsed="false">
      <c r="A20" s="5" t="s">
        <v>30</v>
      </c>
      <c r="B20" s="6" t="n">
        <v>7500</v>
      </c>
      <c r="C20" s="7" t="n">
        <f aca="false">B20*12</f>
        <v>90000</v>
      </c>
      <c r="D20" s="6" t="n">
        <v>2000</v>
      </c>
      <c r="E20" s="7" t="n">
        <f aca="false">D20*12</f>
        <v>24000</v>
      </c>
      <c r="F20" s="6" t="n">
        <v>25000</v>
      </c>
      <c r="G20" s="6" t="n">
        <v>13000</v>
      </c>
      <c r="H20" s="6" t="n">
        <v>18000</v>
      </c>
      <c r="I20" s="6" t="n">
        <v>6000</v>
      </c>
      <c r="J20" s="7" t="n">
        <f aca="false">C20+E20+G20</f>
        <v>127000</v>
      </c>
      <c r="K20" s="7" t="n">
        <f aca="false">F20+H20+I20</f>
        <v>49000</v>
      </c>
      <c r="L20" s="7" t="n">
        <f aca="false">J20+K20</f>
        <v>176000</v>
      </c>
      <c r="M20" s="7" t="n">
        <f aca="false">J20</f>
        <v>127000</v>
      </c>
    </row>
    <row r="22" customFormat="false" ht="15" hidden="false" customHeight="false" outlineLevel="0" collapsed="false">
      <c r="A22" s="10" t="s">
        <v>31</v>
      </c>
      <c r="B22" s="11" t="n">
        <f aca="false">AVERAGE(B6:B20)</f>
        <v>4980</v>
      </c>
      <c r="C22" s="11" t="n">
        <f aca="false">AVERAGE(C6:C20)</f>
        <v>59760</v>
      </c>
      <c r="D22" s="11" t="n">
        <f aca="false">AVERAGE(D6:D20)</f>
        <v>1793.33333333333</v>
      </c>
      <c r="E22" s="11" t="n">
        <f aca="false">AVERAGE(E6:E20)</f>
        <v>21520</v>
      </c>
      <c r="F22" s="11" t="n">
        <f aca="false">AVERAGE(F6:F20)</f>
        <v>19266.6666666667</v>
      </c>
      <c r="G22" s="11" t="n">
        <f aca="false">AVERAGE(G6:G20)</f>
        <v>8966.66666666667</v>
      </c>
      <c r="H22" s="11" t="n">
        <f aca="false">AVERAGE(H6:H20)</f>
        <v>13333.3333333333</v>
      </c>
      <c r="I22" s="11" t="n">
        <f aca="false">AVERAGE(I6:I20)</f>
        <v>4833.33333333333</v>
      </c>
      <c r="J22" s="11" t="n">
        <f aca="false">AVERAGE(J6:J20)</f>
        <v>90246.6666666667</v>
      </c>
      <c r="K22" s="11" t="n">
        <f aca="false">AVERAGE(K6:K20)</f>
        <v>37433.3333333333</v>
      </c>
      <c r="L22" s="11" t="n">
        <f aca="false">AVERAGE(L6:L20)</f>
        <v>127680</v>
      </c>
      <c r="M22" s="11" t="n">
        <f aca="false">AVERAGE(M6:M20)</f>
        <v>90246.6666666667</v>
      </c>
    </row>
    <row r="24" customFormat="false" ht="15" hidden="false" customHeight="false" outlineLevel="0" collapsed="false">
      <c r="A24" s="12" t="s">
        <v>32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</row>
    <row r="25" customFormat="false" ht="15" hidden="false" customHeight="true" outlineLevel="0" collapsed="false">
      <c r="A25" s="13" t="s">
        <v>33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</row>
    <row r="26" customFormat="false" ht="15" hidden="false" customHeight="true" outlineLevel="0" collapsed="false">
      <c r="A26" s="13" t="s">
        <v>34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</row>
    <row r="27" customFormat="false" ht="15" hidden="false" customHeight="true" outlineLevel="0" collapsed="false">
      <c r="A27" s="13" t="s">
        <v>35</v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</row>
    <row r="28" customFormat="false" ht="15" hidden="false" customHeight="true" outlineLevel="0" collapsed="false">
      <c r="A28" s="13" t="s">
        <v>36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</row>
    <row r="29" customFormat="false" ht="15" hidden="false" customHeight="true" outlineLevel="0" collapsed="false">
      <c r="A29" s="13" t="s">
        <v>37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</row>
    <row r="30" customFormat="false" ht="15" hidden="false" customHeight="true" outlineLevel="0" collapsed="false">
      <c r="A30" s="13" t="s">
        <v>38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</row>
    <row r="31" customFormat="false" ht="15" hidden="false" customHeight="true" outlineLevel="0" collapsed="false">
      <c r="A31" s="13" t="s">
        <v>39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</row>
  </sheetData>
  <mergeCells count="11">
    <mergeCell ref="A1:M1"/>
    <mergeCell ref="A2:M2"/>
    <mergeCell ref="A3:M3"/>
    <mergeCell ref="A24:M24"/>
    <mergeCell ref="A25:M25"/>
    <mergeCell ref="A26:M26"/>
    <mergeCell ref="A27:M27"/>
    <mergeCell ref="A28:M28"/>
    <mergeCell ref="A29:M29"/>
    <mergeCell ref="A30:M30"/>
    <mergeCell ref="A31:M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2026-08-14T09:54:09Z</dcterms:created>
  <dc:creator>openpyxl</dc:creator>
  <dc:description/>
  <dc:language>en-US</dc:language>
  <cp:lastModifiedBy/>
  <dcterms:modified xsi:type="dcterms:W3CDTF">2026-08-14T09:54:09Z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
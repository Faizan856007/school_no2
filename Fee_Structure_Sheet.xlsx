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Fee Structure" sheetId="1" r:id="rId1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2" i="1"/>
  <c r="H22"/>
  <c r="G22"/>
  <c r="F22"/>
  <c r="D22"/>
  <c r="B22"/>
  <c r="K20"/>
  <c r="E20"/>
  <c r="J20" s="1"/>
  <c r="C20"/>
  <c r="K19"/>
  <c r="E19"/>
  <c r="C19"/>
  <c r="J19" s="1"/>
  <c r="K18"/>
  <c r="E18"/>
  <c r="J18" s="1"/>
  <c r="C18"/>
  <c r="K17"/>
  <c r="E17"/>
  <c r="C17"/>
  <c r="J17" s="1"/>
  <c r="K16"/>
  <c r="E16"/>
  <c r="J16" s="1"/>
  <c r="C16"/>
  <c r="K15"/>
  <c r="E15"/>
  <c r="C15"/>
  <c r="J15" s="1"/>
  <c r="K14"/>
  <c r="E14"/>
  <c r="J14" s="1"/>
  <c r="C14"/>
  <c r="K13"/>
  <c r="E13"/>
  <c r="C13"/>
  <c r="J13" s="1"/>
  <c r="K12"/>
  <c r="E12"/>
  <c r="J12" s="1"/>
  <c r="C12"/>
  <c r="K11"/>
  <c r="E11"/>
  <c r="C11"/>
  <c r="J11" s="1"/>
  <c r="K10"/>
  <c r="E10"/>
  <c r="J10" s="1"/>
  <c r="C10"/>
  <c r="K9"/>
  <c r="E9"/>
  <c r="C9"/>
  <c r="J9" s="1"/>
  <c r="K8"/>
  <c r="E8"/>
  <c r="J8" s="1"/>
  <c r="C8"/>
  <c r="K7"/>
  <c r="E7"/>
  <c r="C7"/>
  <c r="C22" s="1"/>
  <c r="K6"/>
  <c r="K22" s="1"/>
  <c r="E6"/>
  <c r="J6" s="1"/>
  <c r="C6"/>
  <c r="J22" l="1"/>
  <c r="L6"/>
  <c r="M6"/>
  <c r="L13"/>
  <c r="M13"/>
  <c r="L17"/>
  <c r="M17"/>
  <c r="L8"/>
  <c r="M8"/>
  <c r="L11"/>
  <c r="M11"/>
  <c r="L12"/>
  <c r="M12"/>
  <c r="L15"/>
  <c r="M15"/>
  <c r="L16"/>
  <c r="M16"/>
  <c r="L19"/>
  <c r="M19"/>
  <c r="L20"/>
  <c r="M20"/>
  <c r="L9"/>
  <c r="M9"/>
  <c r="L10"/>
  <c r="M10"/>
  <c r="L14"/>
  <c r="M14"/>
  <c r="L18"/>
  <c r="M18"/>
  <c r="E22"/>
  <c r="J7"/>
  <c r="L22" l="1"/>
  <c r="L7"/>
  <c r="M7"/>
  <c r="M22" s="1"/>
</calcChain>
</file>

<file path=xl/sharedStrings.xml><?xml version="1.0" encoding="utf-8"?>
<sst xmlns="http://schemas.openxmlformats.org/spreadsheetml/2006/main" count="38" uniqueCount="38">
  <si>
    <t>SCHOOL FEE STRUCTURE — ACADEMIC YEAR 2026-27</t>
  </si>
  <si>
    <t>Class</t>
  </si>
  <si>
    <t>Tuition Fee
(Monthly)</t>
  </si>
  <si>
    <t>Tuition Fee
(Annual)</t>
  </si>
  <si>
    <t>Transport Fee
(Monthly)</t>
  </si>
  <si>
    <t>Transport Fee
(Annual)</t>
  </si>
  <si>
    <t>Admission Fee
(New Adm., One-time)</t>
  </si>
  <si>
    <t>Annual Charges
(Activities/Exam/Library)</t>
  </si>
  <si>
    <t>Development Fund
(One-time)</t>
  </si>
  <si>
    <t>Uniform &amp; Books
(Est., One-time)</t>
  </si>
  <si>
    <t>Total Annual Recurring
(Tuition+Transport+Annual Chg.)</t>
  </si>
  <si>
    <t>Total One-Time Charges
(New Admission)</t>
  </si>
  <si>
    <t>Year 1 Total
(New Admission)</t>
  </si>
  <si>
    <t>Annual Total
(Continuing Student)</t>
  </si>
  <si>
    <t>Nursery</t>
  </si>
  <si>
    <t>LKG</t>
  </si>
  <si>
    <t>UKG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</si>
  <si>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</si>
  <si>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</si>
  <si>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</si>
  <si>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</si>
  <si>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</si>
  <si>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</si>
  <si>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</si>
  <si>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</si>
  <si>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</si>
  <si>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</si>
  <si>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</si>
  <si>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</si>
  <si>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AVERAGE ACROSS ALL CLASSES</t>
  </si>
  <si>
    <t>NOTES &amp; ASSUMPTIONS</t>
  </si>
  <si>
    <t>1. Yellow cells (Tuition Monthly, Transport Monthly, Admission Fee, Annual Charges, Development Fund, Uniform &amp; Books) are editable inputs — replace sample figures with your school's actual fees.</t>
  </si>
  <si>
    <t>2. All 'Annual' and 'Total' columns are formulas and recalculate automatically when yellow input cells are changed.</t>
  </si>
  <si>
    <t>3. Admission Fee and Development Fund are one-time charges applicable to new admissions only; continuing students are not charged these again (see 'Annual Total – Continuing Student').</t>
  </si>
  <si>
    <t>4. Transport Fee is shown as a single average rate — schools with distance-based slabs (e.g. 0-5 km / 5-10 km / 10-15 km) should replace column D with slab-specific rates per route.</t>
  </si>
  <si>
    <t>5. Uniform &amp; Books is an indicative one-time estimate for the entry year; actual cost depends on vendor and is typically paid directly, not to the school.</t>
  </si>
  <si>
    <t>6. Figures shown are illustrative sample values in INR (₹) for demonstration only and do not represent any real institution's fees.</t>
  </si>
  <si>
    <t>7. Sheet reflects Academic Year 2026-27; update the effective-date line above when fees are revised.</t>
  </si>
</sst>
</file>

<file path=xl/styles.xml><?xml version="1.0" encoding="utf-8"?>
<styleSheet xmlns="http://schemas.openxmlformats.org/spreadsheetml/2006/main">
  <numFmts count="1">
    <numFmt numFmtId="164" formatCode="\₹#,##0;&quot;(₹&quot;#,##0\)"/>
  </numFmts>
  <fonts count="12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i/>
      <sz val="11"/>
      <color rgb="FF7F7F7F"/>
      <name val="Arial"/>
      <family val="2"/>
    </font>
    <font>
      <b/>
      <sz val="11"/>
      <name val="Arial"/>
      <family val="2"/>
    </font>
    <font>
      <b/>
      <sz val="14"/>
      <color rgb="FF404040"/>
      <name val="Arial"/>
      <family val="2"/>
    </font>
    <font>
      <sz val="8"/>
      <color theme="1"/>
      <name val="Calibri"/>
      <family val="2"/>
      <charset val="1"/>
    </font>
    <font>
      <b/>
      <sz val="8"/>
      <color rgb="FFFFFFFF"/>
      <name val="Arial"/>
      <family val="2"/>
    </font>
    <font>
      <b/>
      <sz val="18"/>
      <color rgb="FFFFFFFF"/>
      <name val="Arial"/>
      <family val="2"/>
    </font>
    <font>
      <b/>
      <sz val="18"/>
      <color rgb="FF1F3864"/>
      <name val="Arial"/>
      <family val="2"/>
    </font>
    <font>
      <b/>
      <sz val="14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Border="1"/>
    <xf numFmtId="0" fontId="3" fillId="5" borderId="1" xfId="0" applyFont="1" applyFill="1" applyBorder="1"/>
    <xf numFmtId="164" fontId="3" fillId="5" borderId="1" xfId="0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left" vertical="center" wrapText="1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O31" sqref="O31"/>
    </sheetView>
  </sheetViews>
  <sheetFormatPr defaultColWidth="8.7109375" defaultRowHeight="15"/>
  <cols>
    <col min="1" max="1" width="31.85546875" customWidth="1"/>
    <col min="2" max="5" width="13" customWidth="1"/>
    <col min="6" max="7" width="15" customWidth="1"/>
    <col min="8" max="9" width="14" customWidth="1"/>
    <col min="10" max="10" width="16" customWidth="1"/>
    <col min="11" max="11" width="15" customWidth="1"/>
    <col min="12" max="12" width="13" customWidth="1"/>
    <col min="13" max="13" width="15" customWidth="1"/>
  </cols>
  <sheetData>
    <row r="1" spans="1:13" ht="2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6" customHeight="1">
      <c r="A5" s="10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</row>
    <row r="6" spans="1:13">
      <c r="A6" s="8" t="s">
        <v>14</v>
      </c>
      <c r="B6" s="11">
        <v>3500</v>
      </c>
      <c r="C6" s="12">
        <f t="shared" ref="C6:C20" si="0">B6*12</f>
        <v>42000</v>
      </c>
      <c r="D6" s="11">
        <v>1500</v>
      </c>
      <c r="E6" s="12">
        <f t="shared" ref="E6:E20" si="1">D6*12</f>
        <v>18000</v>
      </c>
      <c r="F6" s="11">
        <v>15000</v>
      </c>
      <c r="G6" s="11">
        <v>6000</v>
      </c>
      <c r="H6" s="11">
        <v>10000</v>
      </c>
      <c r="I6" s="11">
        <v>4000</v>
      </c>
      <c r="J6" s="12">
        <f t="shared" ref="J6:J20" si="2">C6+E6+G6</f>
        <v>66000</v>
      </c>
      <c r="K6" s="12">
        <f t="shared" ref="K6:K20" si="3">F6+H6+I6</f>
        <v>29000</v>
      </c>
      <c r="L6" s="12">
        <f t="shared" ref="L6:L20" si="4">J6+K6</f>
        <v>95000</v>
      </c>
      <c r="M6" s="12">
        <f t="shared" ref="M6:M20" si="5">J6</f>
        <v>66000</v>
      </c>
    </row>
    <row r="7" spans="1:13">
      <c r="A7" s="9" t="s">
        <v>15</v>
      </c>
      <c r="B7" s="11">
        <v>3500</v>
      </c>
      <c r="C7" s="13">
        <f t="shared" si="0"/>
        <v>42000</v>
      </c>
      <c r="D7" s="11">
        <v>1500</v>
      </c>
      <c r="E7" s="13">
        <f t="shared" si="1"/>
        <v>18000</v>
      </c>
      <c r="F7" s="11">
        <v>15000</v>
      </c>
      <c r="G7" s="11">
        <v>6000</v>
      </c>
      <c r="H7" s="11">
        <v>10000</v>
      </c>
      <c r="I7" s="11">
        <v>4000</v>
      </c>
      <c r="J7" s="13">
        <f t="shared" si="2"/>
        <v>66000</v>
      </c>
      <c r="K7" s="13">
        <f t="shared" si="3"/>
        <v>29000</v>
      </c>
      <c r="L7" s="13">
        <f t="shared" si="4"/>
        <v>95000</v>
      </c>
      <c r="M7" s="13">
        <f t="shared" si="5"/>
        <v>66000</v>
      </c>
    </row>
    <row r="8" spans="1:13">
      <c r="A8" s="8" t="s">
        <v>16</v>
      </c>
      <c r="B8" s="11">
        <v>3500</v>
      </c>
      <c r="C8" s="12">
        <f t="shared" si="0"/>
        <v>42000</v>
      </c>
      <c r="D8" s="11">
        <v>1500</v>
      </c>
      <c r="E8" s="12">
        <f t="shared" si="1"/>
        <v>18000</v>
      </c>
      <c r="F8" s="11">
        <v>15000</v>
      </c>
      <c r="G8" s="11">
        <v>6000</v>
      </c>
      <c r="H8" s="11">
        <v>10000</v>
      </c>
      <c r="I8" s="11">
        <v>4000</v>
      </c>
      <c r="J8" s="12">
        <f t="shared" si="2"/>
        <v>66000</v>
      </c>
      <c r="K8" s="12">
        <f t="shared" si="3"/>
        <v>29000</v>
      </c>
      <c r="L8" s="12">
        <f t="shared" si="4"/>
        <v>95000</v>
      </c>
      <c r="M8" s="12">
        <f t="shared" si="5"/>
        <v>66000</v>
      </c>
    </row>
    <row r="9" spans="1:13">
      <c r="A9" s="9" t="s">
        <v>17</v>
      </c>
      <c r="B9" s="11">
        <v>4200</v>
      </c>
      <c r="C9" s="13">
        <f t="shared" si="0"/>
        <v>50400</v>
      </c>
      <c r="D9" s="11">
        <v>1800</v>
      </c>
      <c r="E9" s="13">
        <f t="shared" si="1"/>
        <v>21600</v>
      </c>
      <c r="F9" s="11">
        <v>18000</v>
      </c>
      <c r="G9" s="11">
        <v>8000</v>
      </c>
      <c r="H9" s="11">
        <v>12000</v>
      </c>
      <c r="I9" s="11">
        <v>4500</v>
      </c>
      <c r="J9" s="13">
        <f t="shared" si="2"/>
        <v>80000</v>
      </c>
      <c r="K9" s="13">
        <f t="shared" si="3"/>
        <v>34500</v>
      </c>
      <c r="L9" s="13">
        <f t="shared" si="4"/>
        <v>114500</v>
      </c>
      <c r="M9" s="13">
        <f t="shared" si="5"/>
        <v>80000</v>
      </c>
    </row>
    <row r="10" spans="1:13">
      <c r="A10" s="8" t="s">
        <v>18</v>
      </c>
      <c r="B10" s="11">
        <v>4200</v>
      </c>
      <c r="C10" s="12">
        <f t="shared" si="0"/>
        <v>50400</v>
      </c>
      <c r="D10" s="11">
        <v>1800</v>
      </c>
      <c r="E10" s="12">
        <f t="shared" si="1"/>
        <v>21600</v>
      </c>
      <c r="F10" s="11">
        <v>18000</v>
      </c>
      <c r="G10" s="11">
        <v>8000</v>
      </c>
      <c r="H10" s="11">
        <v>12000</v>
      </c>
      <c r="I10" s="11">
        <v>4500</v>
      </c>
      <c r="J10" s="12">
        <f t="shared" si="2"/>
        <v>80000</v>
      </c>
      <c r="K10" s="12">
        <f t="shared" si="3"/>
        <v>34500</v>
      </c>
      <c r="L10" s="12">
        <f t="shared" si="4"/>
        <v>114500</v>
      </c>
      <c r="M10" s="12">
        <f t="shared" si="5"/>
        <v>80000</v>
      </c>
    </row>
    <row r="11" spans="1:13">
      <c r="A11" s="9" t="s">
        <v>19</v>
      </c>
      <c r="B11" s="11">
        <v>4200</v>
      </c>
      <c r="C11" s="13">
        <f t="shared" si="0"/>
        <v>50400</v>
      </c>
      <c r="D11" s="11">
        <v>1800</v>
      </c>
      <c r="E11" s="13">
        <f t="shared" si="1"/>
        <v>21600</v>
      </c>
      <c r="F11" s="11">
        <v>18000</v>
      </c>
      <c r="G11" s="11">
        <v>8000</v>
      </c>
      <c r="H11" s="11">
        <v>12000</v>
      </c>
      <c r="I11" s="11">
        <v>4500</v>
      </c>
      <c r="J11" s="13">
        <f t="shared" si="2"/>
        <v>80000</v>
      </c>
      <c r="K11" s="13">
        <f t="shared" si="3"/>
        <v>34500</v>
      </c>
      <c r="L11" s="13">
        <f t="shared" si="4"/>
        <v>114500</v>
      </c>
      <c r="M11" s="13">
        <f t="shared" si="5"/>
        <v>80000</v>
      </c>
    </row>
    <row r="12" spans="1:13">
      <c r="A12" s="8" t="s">
        <v>20</v>
      </c>
      <c r="B12" s="11">
        <v>4200</v>
      </c>
      <c r="C12" s="12">
        <f t="shared" si="0"/>
        <v>50400</v>
      </c>
      <c r="D12" s="11">
        <v>1800</v>
      </c>
      <c r="E12" s="12">
        <f t="shared" si="1"/>
        <v>21600</v>
      </c>
      <c r="F12" s="11">
        <v>18000</v>
      </c>
      <c r="G12" s="11">
        <v>8000</v>
      </c>
      <c r="H12" s="11">
        <v>12000</v>
      </c>
      <c r="I12" s="11">
        <v>4500</v>
      </c>
      <c r="J12" s="12">
        <f t="shared" si="2"/>
        <v>80000</v>
      </c>
      <c r="K12" s="12">
        <f t="shared" si="3"/>
        <v>34500</v>
      </c>
      <c r="L12" s="12">
        <f t="shared" si="4"/>
        <v>114500</v>
      </c>
      <c r="M12" s="12">
        <f t="shared" si="5"/>
        <v>80000</v>
      </c>
    </row>
    <row r="13" spans="1:13">
      <c r="A13" s="9" t="s">
        <v>21</v>
      </c>
      <c r="B13" s="11">
        <v>4200</v>
      </c>
      <c r="C13" s="13">
        <f t="shared" si="0"/>
        <v>50400</v>
      </c>
      <c r="D13" s="11">
        <v>1800</v>
      </c>
      <c r="E13" s="13">
        <f t="shared" si="1"/>
        <v>21600</v>
      </c>
      <c r="F13" s="11">
        <v>18000</v>
      </c>
      <c r="G13" s="11">
        <v>8000</v>
      </c>
      <c r="H13" s="11">
        <v>12000</v>
      </c>
      <c r="I13" s="11">
        <v>4500</v>
      </c>
      <c r="J13" s="13">
        <f t="shared" si="2"/>
        <v>80000</v>
      </c>
      <c r="K13" s="13">
        <f t="shared" si="3"/>
        <v>34500</v>
      </c>
      <c r="L13" s="13">
        <f t="shared" si="4"/>
        <v>114500</v>
      </c>
      <c r="M13" s="13">
        <f t="shared" si="5"/>
        <v>80000</v>
      </c>
    </row>
    <row r="14" spans="1:13">
      <c r="A14" s="8" t="s">
        <v>22</v>
      </c>
      <c r="B14" s="11">
        <v>5200</v>
      </c>
      <c r="C14" s="12">
        <f t="shared" si="0"/>
        <v>62400</v>
      </c>
      <c r="D14" s="11">
        <v>1800</v>
      </c>
      <c r="E14" s="12">
        <f t="shared" si="1"/>
        <v>21600</v>
      </c>
      <c r="F14" s="11">
        <v>20000</v>
      </c>
      <c r="G14" s="11">
        <v>9500</v>
      </c>
      <c r="H14" s="11">
        <v>14000</v>
      </c>
      <c r="I14" s="11">
        <v>5000</v>
      </c>
      <c r="J14" s="12">
        <f t="shared" si="2"/>
        <v>93500</v>
      </c>
      <c r="K14" s="12">
        <f t="shared" si="3"/>
        <v>39000</v>
      </c>
      <c r="L14" s="12">
        <f t="shared" si="4"/>
        <v>132500</v>
      </c>
      <c r="M14" s="12">
        <f t="shared" si="5"/>
        <v>93500</v>
      </c>
    </row>
    <row r="15" spans="1:13">
      <c r="A15" s="9" t="s">
        <v>23</v>
      </c>
      <c r="B15" s="11">
        <v>5200</v>
      </c>
      <c r="C15" s="13">
        <f t="shared" si="0"/>
        <v>62400</v>
      </c>
      <c r="D15" s="11">
        <v>1800</v>
      </c>
      <c r="E15" s="13">
        <f t="shared" si="1"/>
        <v>21600</v>
      </c>
      <c r="F15" s="11">
        <v>20000</v>
      </c>
      <c r="G15" s="11">
        <v>9500</v>
      </c>
      <c r="H15" s="11">
        <v>14000</v>
      </c>
      <c r="I15" s="11">
        <v>5000</v>
      </c>
      <c r="J15" s="13">
        <f t="shared" si="2"/>
        <v>93500</v>
      </c>
      <c r="K15" s="13">
        <f t="shared" si="3"/>
        <v>39000</v>
      </c>
      <c r="L15" s="13">
        <f t="shared" si="4"/>
        <v>132500</v>
      </c>
      <c r="M15" s="13">
        <f t="shared" si="5"/>
        <v>93500</v>
      </c>
    </row>
    <row r="16" spans="1:13">
      <c r="A16" s="8" t="s">
        <v>24</v>
      </c>
      <c r="B16" s="11">
        <v>5200</v>
      </c>
      <c r="C16" s="12">
        <f t="shared" si="0"/>
        <v>62400</v>
      </c>
      <c r="D16" s="11">
        <v>1800</v>
      </c>
      <c r="E16" s="12">
        <f t="shared" si="1"/>
        <v>21600</v>
      </c>
      <c r="F16" s="11">
        <v>20000</v>
      </c>
      <c r="G16" s="11">
        <v>9500</v>
      </c>
      <c r="H16" s="11">
        <v>14000</v>
      </c>
      <c r="I16" s="11">
        <v>5000</v>
      </c>
      <c r="J16" s="12">
        <f t="shared" si="2"/>
        <v>93500</v>
      </c>
      <c r="K16" s="12">
        <f t="shared" si="3"/>
        <v>39000</v>
      </c>
      <c r="L16" s="12">
        <f t="shared" si="4"/>
        <v>132500</v>
      </c>
      <c r="M16" s="12">
        <f t="shared" si="5"/>
        <v>93500</v>
      </c>
    </row>
    <row r="17" spans="1:13">
      <c r="A17" s="9" t="s">
        <v>25</v>
      </c>
      <c r="B17" s="11">
        <v>6300</v>
      </c>
      <c r="C17" s="13">
        <f t="shared" si="0"/>
        <v>75600</v>
      </c>
      <c r="D17" s="11">
        <v>2000</v>
      </c>
      <c r="E17" s="13">
        <f t="shared" si="1"/>
        <v>24000</v>
      </c>
      <c r="F17" s="11">
        <v>22000</v>
      </c>
      <c r="G17" s="11">
        <v>11000</v>
      </c>
      <c r="H17" s="11">
        <v>16000</v>
      </c>
      <c r="I17" s="11">
        <v>5500</v>
      </c>
      <c r="J17" s="13">
        <f t="shared" si="2"/>
        <v>110600</v>
      </c>
      <c r="K17" s="13">
        <f t="shared" si="3"/>
        <v>43500</v>
      </c>
      <c r="L17" s="13">
        <f t="shared" si="4"/>
        <v>154100</v>
      </c>
      <c r="M17" s="13">
        <f t="shared" si="5"/>
        <v>110600</v>
      </c>
    </row>
    <row r="18" spans="1:13">
      <c r="A18" s="8" t="s">
        <v>26</v>
      </c>
      <c r="B18" s="11">
        <v>6300</v>
      </c>
      <c r="C18" s="12">
        <f t="shared" si="0"/>
        <v>75600</v>
      </c>
      <c r="D18" s="11">
        <v>2000</v>
      </c>
      <c r="E18" s="12">
        <f t="shared" si="1"/>
        <v>24000</v>
      </c>
      <c r="F18" s="11">
        <v>22000</v>
      </c>
      <c r="G18" s="11">
        <v>11000</v>
      </c>
      <c r="H18" s="11">
        <v>16000</v>
      </c>
      <c r="I18" s="11">
        <v>5500</v>
      </c>
      <c r="J18" s="12">
        <f t="shared" si="2"/>
        <v>110600</v>
      </c>
      <c r="K18" s="12">
        <f t="shared" si="3"/>
        <v>43500</v>
      </c>
      <c r="L18" s="12">
        <f t="shared" si="4"/>
        <v>154100</v>
      </c>
      <c r="M18" s="12">
        <f t="shared" si="5"/>
        <v>110600</v>
      </c>
    </row>
    <row r="19" spans="1:13">
      <c r="A19" s="9" t="s">
        <v>27</v>
      </c>
      <c r="B19" s="11">
        <v>7500</v>
      </c>
      <c r="C19" s="13">
        <f t="shared" si="0"/>
        <v>90000</v>
      </c>
      <c r="D19" s="11">
        <v>2000</v>
      </c>
      <c r="E19" s="13">
        <f t="shared" si="1"/>
        <v>24000</v>
      </c>
      <c r="F19" s="11">
        <v>25000</v>
      </c>
      <c r="G19" s="11">
        <v>13000</v>
      </c>
      <c r="H19" s="11">
        <v>18000</v>
      </c>
      <c r="I19" s="11">
        <v>6000</v>
      </c>
      <c r="J19" s="13">
        <f t="shared" si="2"/>
        <v>127000</v>
      </c>
      <c r="K19" s="13">
        <f t="shared" si="3"/>
        <v>49000</v>
      </c>
      <c r="L19" s="13">
        <f t="shared" si="4"/>
        <v>176000</v>
      </c>
      <c r="M19" s="13">
        <f t="shared" si="5"/>
        <v>127000</v>
      </c>
    </row>
    <row r="20" spans="1:13">
      <c r="A20" s="8" t="s">
        <v>28</v>
      </c>
      <c r="B20" s="11">
        <v>7500</v>
      </c>
      <c r="C20" s="12">
        <f t="shared" si="0"/>
        <v>90000</v>
      </c>
      <c r="D20" s="11">
        <v>2000</v>
      </c>
      <c r="E20" s="12">
        <f t="shared" si="1"/>
        <v>24000</v>
      </c>
      <c r="F20" s="11">
        <v>25000</v>
      </c>
      <c r="G20" s="11">
        <v>13000</v>
      </c>
      <c r="H20" s="11">
        <v>18000</v>
      </c>
      <c r="I20" s="11">
        <v>6000</v>
      </c>
      <c r="J20" s="12">
        <f t="shared" si="2"/>
        <v>127000</v>
      </c>
      <c r="K20" s="12">
        <f t="shared" si="3"/>
        <v>49000</v>
      </c>
      <c r="L20" s="12">
        <f t="shared" si="4"/>
        <v>176000</v>
      </c>
      <c r="M20" s="12">
        <f t="shared" si="5"/>
        <v>127000</v>
      </c>
    </row>
    <row r="22" spans="1:13">
      <c r="A22" s="2" t="s">
        <v>29</v>
      </c>
      <c r="B22" s="3">
        <f t="shared" ref="B22:M22" si="6">AVERAGE(B6:B20)</f>
        <v>4980</v>
      </c>
      <c r="C22" s="3">
        <f t="shared" si="6"/>
        <v>59760</v>
      </c>
      <c r="D22" s="3">
        <f t="shared" si="6"/>
        <v>1793.3333333333333</v>
      </c>
      <c r="E22" s="3">
        <f t="shared" si="6"/>
        <v>21520</v>
      </c>
      <c r="F22" s="3">
        <f t="shared" si="6"/>
        <v>19266.666666666668</v>
      </c>
      <c r="G22" s="3">
        <f t="shared" si="6"/>
        <v>8966.6666666666661</v>
      </c>
      <c r="H22" s="3">
        <f t="shared" si="6"/>
        <v>13333.333333333334</v>
      </c>
      <c r="I22" s="3">
        <f t="shared" si="6"/>
        <v>4833.333333333333</v>
      </c>
      <c r="J22" s="3">
        <f t="shared" si="6"/>
        <v>90246.666666666672</v>
      </c>
      <c r="K22" s="3">
        <f t="shared" si="6"/>
        <v>37433.333333333336</v>
      </c>
      <c r="L22" s="3">
        <f t="shared" si="6"/>
        <v>127680</v>
      </c>
      <c r="M22" s="3">
        <f t="shared" si="6"/>
        <v>90246.666666666672</v>
      </c>
    </row>
    <row r="24" spans="1:13" ht="31.5" customHeight="1">
      <c r="A24" s="14" t="s">
        <v>30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6"/>
    </row>
    <row r="25" spans="1:13" ht="21.75" customHeight="1">
      <c r="A25" s="5" t="s">
        <v>31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ht="24.75" customHeight="1">
      <c r="A26" s="5" t="s">
        <v>32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22.5" customHeight="1">
      <c r="A27" s="5" t="s">
        <v>33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24" customHeight="1">
      <c r="A28" s="5" t="s">
        <v>34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26.25" customHeight="1">
      <c r="A29" s="5" t="s">
        <v>35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28.5" customHeight="1">
      <c r="A30" s="5" t="s">
        <v>36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15" customHeight="1">
      <c r="A31" s="5" t="s">
        <v>37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18.7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</sheetData>
  <mergeCells count="11">
    <mergeCell ref="A31:M31"/>
    <mergeCell ref="A26:M26"/>
    <mergeCell ref="A27:M27"/>
    <mergeCell ref="A28:M28"/>
    <mergeCell ref="A29:M29"/>
    <mergeCell ref="A30:M30"/>
    <mergeCell ref="A1:M1"/>
    <mergeCell ref="A2:M2"/>
    <mergeCell ref="A3:M3"/>
    <mergeCell ref="A24:M24"/>
    <mergeCell ref="A25:M25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Structure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0</cp:revision>
  <dcterms:created xsi:type="dcterms:W3CDTF">2026-08-14T09:54:09Z</dcterms:created>
  <dcterms:modified xsi:type="dcterms:W3CDTF">2026-08-14T13:54:54Z</dcterms:modified>
  <dc:language>en-US</dc:language>
</cp:coreProperties>
</file>